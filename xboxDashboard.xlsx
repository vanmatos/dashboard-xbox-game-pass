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Cursos\Excel_Santander\11 - Criando um Dashboard de Vendas do Xbox com Excel\"/>
    </mc:Choice>
  </mc:AlternateContent>
  <xr:revisionPtr revIDLastSave="0" documentId="13_ncr:1_{6B8A4E28-D495-431A-B860-E4AD788D80C7}" xr6:coauthVersionLast="46" xr6:coauthVersionMax="47" xr10:uidLastSave="{00000000-0000-0000-0000-000000000000}"/>
  <bookViews>
    <workbookView xWindow="-120" yWindow="-120" windowWidth="29040" windowHeight="15840" tabRatio="3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3" l="1"/>
  <c r="E24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<sst xmlns="http://schemas.openxmlformats.org/spreadsheetml/2006/main" count="2023" uniqueCount="325">
  <si>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</si>
  <si>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</si>
  <si>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</si>
  <si>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</si>
  <si>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</si>
  <si>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</si>
  <si>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</si>
  <si>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</si>
  <si>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</si>
  <si>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</si>
  <si>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</si>
  <si>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</si>
  <si>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</si>
  <si>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</si>
  <si>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</si>
  <si>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</si>
  <si>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</si>
  <si>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</si>
  <si>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</si>
  <si>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</si>
  <si>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</si>
  <si>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</si>
  <si>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</si>
  <si>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</si>
  <si>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</si>
  <si>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</si>
  <si>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</si>
  <si>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</si>
  <si>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</si>
  <si>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</si>
  <si>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</si>
  <si>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</si>
  <si>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</si>
  <si>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</si>
  <si>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</si>
  <si>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</si>
  <si>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</si>
  <si>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</si>
  <si>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</si>
  <si>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</si>
  <si>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</si>
  <si>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</si>
  <si>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</si>
  <si>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</si>
  <si>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</si>
  <si>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</si>
  <si>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</si>
  <si>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</si>
  <si>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</si>
  <si>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</si>
  <si>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</si>
  <si>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</si>
  <si>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</si>
  <si>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</si>
  <si>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</si>
  <si>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</si>
  <si>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</si>
  <si>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</si>
  <si>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</si>
  <si>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</si>
  <si>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</si>
  <si>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</si>
  <si>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</si>
  <si>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</si>
  <si>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</si>
  <si>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</si>
  <si>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</si>
  <si>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</si>
  <si>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</si>
  <si>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</si>
  <si>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</si>
  <si>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</si>
  <si>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</si>
  <si>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</si>
  <si>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</si>
  <si>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</si>
  <si>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</si>
  <si>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</si>
  <si>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</si>
  <si>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</si>
  <si>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</si>
  <si>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</si>
  <si>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</si>
  <si>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</si>
  <si>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</si>
  <si>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</si>
  <si>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</si>
  <si>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</si>
  <si>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</si>
  <si>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</si>
  <si>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</si>
  <si>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</si>
  <si>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</si>
  <si>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</si>
  <si>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</si>
  <si>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</si>
  <si>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</si>
  <si>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</si>
  <si>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</si>
  <si>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</si>
  <si>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</si>
  <si>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</si>
  <si>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</si>
  <si>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</si>
  <si>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</si>
  <si>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</si>
  <si>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</si>
  <si>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</si>
  <si>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</si>
  <si>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</si>
  <si>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</si>
  <si>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</si>
  <si>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</si>
  <si>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</si>
  <si>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</si>
  <si>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</si>
  <si>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</si>
  <si>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</si>
  <si>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</si>
  <si>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</si>
  <si>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</si>
  <si>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</si>
  <si>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</si>
  <si>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</si>
  <si>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</si>
  <si>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</si>
  <si>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</si>
  <si>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</si>
  <si>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</si>
  <si>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</si>
  <si>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</si>
  <si>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</si>
  <si>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</si>
  <si>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</si>
  <si>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</si>
  <si>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</si>
  <si>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</si>
  <si>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</si>
  <si>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</si>
  <si>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</si>
  <si>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</si>
  <si>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</si>
  <si>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</si>
  <si>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</si>
  <si>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</si>
  <si>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</si>
  <si>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</si>
  <si>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</si>
  <si>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</si>
  <si>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</si>
  <si>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</si>
  <si>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</si>
  <si>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</si>
  <si>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</si>
  <si>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</si>
  <si>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</si>
  <si>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</si>
  <si>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</si>
  <si>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</si>
  <si>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</si>
  <si>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</si>
  <si>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</si>
  <si>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</si>
  <si>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</si>
  <si>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</si>
  <si>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</si>
  <si>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</si>
  <si>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</si>
  <si>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</si>
  <si>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</si>
  <si>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</si>
  <si>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</si>
  <si>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</si>
  <si>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</si>
  <si>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</si>
  <si>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</si>
  <si>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</si>
  <si>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</si>
  <si>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</si>
  <si>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</si>
  <si>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</si>
  <si>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</si>
  <si>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</si>
  <si>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</si>
  <si>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</si>
  <si>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</si>
  <si>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</si>
  <si>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</si>
  <si>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</si>
  <si>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</si>
  <si>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</si>
  <si>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</si>
  <si>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</si>
  <si>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</si>
  <si>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</si>
  <si>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</si>
  <si>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</si>
  <si>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</si>
  <si>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</si>
  <si>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</si>
  <si>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</si>
  <si>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</si>
  <si>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</si>
  <si>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</si>
  <si>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</si>
  <si>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</si>
  <si>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</si>
  <si>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</si>
  <si>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</si>
  <si>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</si>
  <si>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</si>
  <si>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</si>
  <si>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</si>
  <si>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</si>
  <si>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</si>
  <si>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</si>
  <si>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</si>
  <si>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</si>
  <si>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</si>
  <si>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</si>
  <si>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</si>
  <si>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</si>
  <si>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</si>
  <si>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</si>
  <si>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</si>
  <si>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</si>
  <si>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</si>
  <si>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</si>
  <si>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</si>
  <si>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</si>
  <si>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</si>
  <si>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</si>
  <si>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</si>
  <si>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</si>
  <si>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</si>
  <si>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</si>
  <si>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</si>
  <si>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</si>
  <si>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</si>
  <si>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</si>
  <si>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</si>
  <si>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</si>
  <si>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</si>
  <si>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</si>
  <si>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</si>
  <si>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</si>
  <si>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</si>
  <si>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</si>
  <si>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</si>
  <si>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</si>
  <si>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</si>
  <si>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</si>
  <si>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</si>
  <si>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</si>
  <si>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</si>
  <si>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</si>
  <si>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</si>
  <si>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</si>
  <si>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</si>
  <si>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</si>
  <si>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</si>
  <si>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</si>
  <si>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</si>
  <si>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</si>
  <si>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</si>
  <si>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</si>
  <si>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</si>
  <si>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</si>
  <si>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</si>
  <si>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</si>
  <si>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</si>
  <si>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</si>
  <si>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</si>
  <si>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</si>
  <si>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</si>
  <si>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</si>
  <si>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</si>
  <si>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</si>
  <si>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</si>
  <si>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</si>
  <si>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</si>
  <si>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</si>
  <si>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</si>
  <si>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</si>
  <si>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</si>
  <si>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</si>
  <si>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</si>
  <si>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</si>
  <si>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</si>
  <si>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</si>
  <si>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</si>
  <si>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</si>
  <si>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</si>
  <si>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</si>
  <si>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</si>
  <si>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</si>
  <si>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</si>
  <si>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</si>
  <si>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</si>
  <si>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</si>
  <si>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</si>
  <si>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</si>
  <si>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</si>
  <si>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</si>
  <si>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</si>
  <si>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</si>
  <si>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</si>
  <si>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</si>
  <si>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</si>
  <si>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</si>
  <si>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</si>
  <si>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</si>
  <si>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</si>
  <si>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negócios respondida de forma específica</t>
  </si>
  <si>
    <t>Rótulos de Linha</t>
  </si>
  <si>
    <t>Total Geral</t>
  </si>
  <si>
    <t>Soma de Total Value</t>
  </si>
  <si>
    <r>
      <rPr>
        <b/>
        <sz val="11"/>
        <color theme="1"/>
        <rFont val="Aptos Narrow"/>
        <scheme val="minor"/>
      </rPr>
      <t>Pergunta de negócio 1</t>
    </r>
    <r>
      <rPr>
        <sz val="11"/>
        <color theme="1"/>
        <rFont val="Aptos Narrow"/>
        <family val="2"/>
        <scheme val="minor"/>
      </rPr>
      <t xml:space="preserve"> - Qual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(Contando todas as assinaturas agregadas)</t>
    </r>
  </si>
  <si>
    <r>
      <rPr>
        <b/>
        <sz val="11"/>
        <color theme="1"/>
        <rFont val="Aptos Narrow"/>
        <scheme val="minor"/>
      </rPr>
      <t>Pergunta de negócio 2</t>
    </r>
    <r>
      <rPr>
        <sz val="11"/>
        <color theme="1"/>
        <rFont val="Aptos Narrow"/>
        <family val="2"/>
        <scheme val="minor"/>
      </rPr>
      <t xml:space="preserve"> - Qual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</si>
  <si>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Pergunta de negócio 3 - Total de vendas de assinaturas da IA Play</t>
  </si>
  <si>
    <t>Soma de EA Play Season Pass</t>
  </si>
  <si>
    <t>Pergunta de negócio 4 - Total de vendas de assinaturas do Minecraft</t>
  </si>
  <si>
    <t>Soma de Minecraft Season Pass Price</t>
  </si>
  <si>
    <t xml:space="preserve">        XBOX GAME PASS SUBSCRIPTIONS SALES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</si>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</sst>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theme="3"/>
      <name val="Segoe UI"/>
      <family val="2"/>
    </font>
    <font>
      <b/>
      <sz val="18"/>
      <color rgb="FF22C55E"/>
      <name val="Segoe UI"/>
      <family val="2"/>
    </font>
    <font>
      <sz val="11"/>
      <color rgb="FF22C55E"/>
      <name val="Aptos Narrow"/>
      <family val="2"/>
      <scheme val="minor"/>
    </font>
    <font>
      <sz val="11"/>
      <color theme="0" tint="-0.499984740745262"/>
      <name val="Sego U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B05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0" borderId="2" xfId="1" applyFont="1" applyBorder="1"/>
    <xf numFmtId="0" fontId="7" fillId="0" borderId="2" xfId="1" applyFont="1" applyBorder="1"/>
    <xf numFmtId="165" fontId="0" fillId="0" borderId="0" xfId="0" applyNumberFormat="1"/>
    <xf numFmtId="0" fontId="8" fillId="4" borderId="0" xfId="0" applyFont="1" applyFill="1"/>
    <xf numFmtId="0" fontId="0" fillId="0" borderId="0" xfId="0" applyAlignment="1">
      <alignment horizontal="left" indent="1"/>
    </xf>
    <xf numFmtId="0" fontId="9" fillId="7" borderId="0" xfId="0" applyFont="1" applyFill="1"/>
  </cellXfs>
  <cellStyles count="4">
    <cellStyle name="Moeda" xfId="2" builtinId="4"/>
    <cellStyle name="Moeda 2" xfId="3" xr:uid="{6E002A6B-5BB1-45C2-9396-10457B480D85}"/>
    <cellStyle name="Normal" xfId="0" builtinId="0"/>
    <cellStyle name="Título 1" xfId="1" builtinId="16"/>
  </cellStyles>
  <dxfs count="3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  <name val="Segoe UI"/>
        <family val="2"/>
        <scheme val="none"/>
      </font>
      <border>
        <bottom style="thin">
          <color theme="4"/>
        </bottom>
        <vertical/>
        <horizontal/>
      </border>
    </dxf>
    <dxf>
      <font>
        <color rgb="FF22C55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E5703210-677D-4B6E-B483-5C04E27C7224}">
      <tableStyleElement type="wholeTable" dxfId="10"/>
      <tableStyleElement type="headerRow" dxfId="9"/>
    </tableStyle>
    <tableStyle name="SlicerStyleLight6 2" pivot="0" table="0" count="2" xr9:uid="{FC993388-CDFF-49C0-BF98-2C64765CAD8E}">
      <tableStyleElement type="wholeTable" dxfId="35"/>
      <tableStyleElement type="headerRow" dxfId="34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3-47A2-A358-0931F86C9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081808"/>
        <c:axId val="939077232"/>
      </c:barChart>
      <c:catAx>
        <c:axId val="93908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9077232"/>
        <c:crosses val="autoZero"/>
        <c:auto val="1"/>
        <c:lblAlgn val="ctr"/>
        <c:lblOffset val="100"/>
        <c:noMultiLvlLbl val="0"/>
      </c:catAx>
      <c:valAx>
        <c:axId val="9390772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3908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2095500</xdr:colOff>
      <xdr:row>0</xdr:row>
      <xdr:rowOff>69723</xdr:rowOff>
    </xdr:from>
    <xdr:to>
      <xdr:col>2</xdr:col>
      <xdr:colOff>369094</xdr:colOff>
      <xdr:row>2</xdr:row>
      <xdr:rowOff>365665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81F0CC-710C-463E-8DC6-A25B3F6AD3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4" r="72668"/>
        <a:stretch/>
      </xdr:blipFill>
      <xdr:spPr>
        <a:xfrm>
          <a:off x="2095500" y="69723"/>
          <a:ext cx="666750" cy="9745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323851</xdr:rowOff>
    </xdr:from>
    <xdr:to>
      <xdr:col>0</xdr:col>
      <xdr:colOff>2095500</xdr:colOff>
      <xdr:row>21</xdr:row>
      <xdr:rowOff>109538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013669C7-3989-4B53-B912-6EC3C19FC6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55007"/>
              <a:ext cx="2095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6</xdr:row>
      <xdr:rowOff>0</xdr:rowOff>
    </xdr:from>
    <xdr:to>
      <xdr:col>9</xdr:col>
      <xdr:colOff>1</xdr:colOff>
      <xdr:row>17</xdr:row>
      <xdr:rowOff>11904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5A5C5750-3954-4A2C-AC89-00294AF7F7F4}"/>
            </a:ext>
          </a:extLst>
        </xdr:cNvPr>
        <xdr:cNvGrpSpPr/>
      </xdr:nvGrpSpPr>
      <xdr:grpSpPr>
        <a:xfrm>
          <a:off x="2390775" y="1695450"/>
          <a:ext cx="4800601" cy="2183604"/>
          <a:chOff x="2393155" y="1559720"/>
          <a:chExt cx="4833939" cy="2155030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45FAA965-59F3-4C98-A918-FBF346E6CB83}"/>
              </a:ext>
            </a:extLst>
          </xdr:cNvPr>
          <xdr:cNvGrpSpPr/>
        </xdr:nvGrpSpPr>
        <xdr:grpSpPr>
          <a:xfrm>
            <a:off x="2393155" y="1559720"/>
            <a:ext cx="4833939" cy="2155030"/>
            <a:chOff x="2393155" y="1559720"/>
            <a:chExt cx="4833939" cy="2155030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43B25AEA-ADD3-4ACF-9F8A-44CCBDE5F4FF}"/>
                </a:ext>
              </a:extLst>
            </xdr:cNvPr>
            <xdr:cNvSpPr/>
          </xdr:nvSpPr>
          <xdr:spPr>
            <a:xfrm>
              <a:off x="2393155" y="1559720"/>
              <a:ext cx="4833939" cy="2155030"/>
            </a:xfrm>
            <a:prstGeom prst="roundRect">
              <a:avLst>
                <a:gd name="adj" fmla="val 5578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4">
          <xdr:nvSpPr>
            <xdr:cNvPr id="7" name="Retângulo 6">
              <a:extLst>
                <a:ext uri="{FF2B5EF4-FFF2-40B4-BE49-F238E27FC236}">
                  <a16:creationId xmlns:a16="http://schemas.microsoft.com/office/drawing/2014/main" id="{26BC4A2B-B7A6-4DDD-B488-CC43809CA0E6}"/>
                </a:ext>
              </a:extLst>
            </xdr:cNvPr>
            <xdr:cNvSpPr/>
          </xdr:nvSpPr>
          <xdr:spPr>
            <a:xfrm>
              <a:off x="3857623" y="2238376"/>
              <a:ext cx="2762250" cy="125015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F807AD5-5AEB-482C-9D94-8B13A1A62C0F}" type="TxLink">
                <a:rPr lang="en-US" sz="28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R$ 600,00</a:t>
              </a:fld>
              <a:endParaRPr lang="pt-BR" sz="28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2C892499-0E3C-424B-98C9-0B810FACAF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71746" y="2287192"/>
              <a:ext cx="1371600" cy="1152525"/>
            </a:xfrm>
            <a:prstGeom prst="rect">
              <a:avLst/>
            </a:prstGeom>
          </xdr:spPr>
        </xdr:pic>
      </xdr:grp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371935C7-C19A-43E6-B134-E044F4B265CD}"/>
              </a:ext>
            </a:extLst>
          </xdr:cNvPr>
          <xdr:cNvSpPr/>
        </xdr:nvSpPr>
        <xdr:spPr>
          <a:xfrm>
            <a:off x="2393156" y="1583531"/>
            <a:ext cx="4833938" cy="47625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</a:t>
            </a:r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EA Play Season Pass Price</a:t>
            </a:r>
          </a:p>
        </xdr:txBody>
      </xdr:sp>
    </xdr:grpSp>
    <xdr:clientData/>
  </xdr:twoCellAnchor>
  <xdr:twoCellAnchor editAs="absolute">
    <xdr:from>
      <xdr:col>10</xdr:col>
      <xdr:colOff>500061</xdr:colOff>
      <xdr:row>6</xdr:row>
      <xdr:rowOff>0</xdr:rowOff>
    </xdr:from>
    <xdr:to>
      <xdr:col>18</xdr:col>
      <xdr:colOff>0</xdr:colOff>
      <xdr:row>17</xdr:row>
      <xdr:rowOff>11905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E54D023C-D43B-4EFE-B7B2-7BB5BA716AAA}"/>
            </a:ext>
          </a:extLst>
        </xdr:cNvPr>
        <xdr:cNvGrpSpPr/>
      </xdr:nvGrpSpPr>
      <xdr:grpSpPr>
        <a:xfrm>
          <a:off x="8377236" y="1695450"/>
          <a:ext cx="4805364" cy="2183605"/>
          <a:chOff x="7917656" y="1547812"/>
          <a:chExt cx="4833939" cy="2155030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60154615-F930-4F00-8941-ECE6D30E6608}"/>
              </a:ext>
            </a:extLst>
          </xdr:cNvPr>
          <xdr:cNvSpPr/>
        </xdr:nvSpPr>
        <xdr:spPr>
          <a:xfrm>
            <a:off x="7917656" y="1547812"/>
            <a:ext cx="4833939" cy="2155030"/>
          </a:xfrm>
          <a:prstGeom prst="roundRect">
            <a:avLst>
              <a:gd name="adj" fmla="val 5578"/>
            </a:avLst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4">
        <xdr:nvSpPr>
          <xdr:cNvPr id="24" name="Retângulo 23">
            <a:extLst>
              <a:ext uri="{FF2B5EF4-FFF2-40B4-BE49-F238E27FC236}">
                <a16:creationId xmlns:a16="http://schemas.microsoft.com/office/drawing/2014/main" id="{FC278ED6-ABA0-4F59-B557-4B0B3C7D7E90}"/>
              </a:ext>
            </a:extLst>
          </xdr:cNvPr>
          <xdr:cNvSpPr/>
        </xdr:nvSpPr>
        <xdr:spPr>
          <a:xfrm>
            <a:off x="9465465" y="2226469"/>
            <a:ext cx="2762250" cy="125015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BFE094D-AEE3-4138-B264-2C774658D3CC}" type="TxLink">
              <a:rPr lang="en-US" sz="28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R$ 940,00</a:t>
            </a:fld>
            <a:endParaRPr lang="pt-BR" sz="28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A49C4734-BC30-4456-AE28-B8385FC1DC64}"/>
              </a:ext>
            </a:extLst>
          </xdr:cNvPr>
          <xdr:cNvSpPr/>
        </xdr:nvSpPr>
        <xdr:spPr>
          <a:xfrm>
            <a:off x="7917657" y="1571623"/>
            <a:ext cx="4833938" cy="47625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</a:t>
            </a:r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 Season Pass Price</a:t>
            </a:r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187A8CFA-256C-4DE8-A6DD-D0A76F18A349}"/>
              </a:ext>
            </a:extLst>
          </xdr:cNvPr>
          <xdr:cNvGrpSpPr/>
        </xdr:nvGrpSpPr>
        <xdr:grpSpPr>
          <a:xfrm>
            <a:off x="8044579" y="2418158"/>
            <a:ext cx="1214585" cy="701280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92061499-F687-413D-957D-F17CD4A7BA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F66CBDB5-E4D8-48E0-B6FF-663442BB12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21</xdr:row>
      <xdr:rowOff>0</xdr:rowOff>
    </xdr:from>
    <xdr:to>
      <xdr:col>18</xdr:col>
      <xdr:colOff>0</xdr:colOff>
      <xdr:row>41</xdr:row>
      <xdr:rowOff>107154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E32FA299-E73D-43A8-904B-02A35712ACD5}"/>
            </a:ext>
          </a:extLst>
        </xdr:cNvPr>
        <xdr:cNvGrpSpPr/>
      </xdr:nvGrpSpPr>
      <xdr:grpSpPr>
        <a:xfrm>
          <a:off x="2390775" y="4591050"/>
          <a:ext cx="10791825" cy="3726654"/>
          <a:chOff x="2393155" y="4441034"/>
          <a:chExt cx="10358440" cy="367902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C28EC3D0-012B-45FC-BAC9-FB621AC67842}"/>
              </a:ext>
            </a:extLst>
          </xdr:cNvPr>
          <xdr:cNvGrpSpPr/>
        </xdr:nvGrpSpPr>
        <xdr:grpSpPr>
          <a:xfrm>
            <a:off x="2393155" y="4810125"/>
            <a:ext cx="10358440" cy="3309938"/>
            <a:chOff x="4750594" y="1845470"/>
            <a:chExt cx="5024437" cy="298846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092DEF8-3942-4990-B376-A31FE9F71B08}"/>
                </a:ext>
              </a:extLst>
            </xdr:cNvPr>
            <xdr:cNvSpPr/>
          </xdr:nvSpPr>
          <xdr:spPr>
            <a:xfrm>
              <a:off x="4750594" y="1845470"/>
              <a:ext cx="5024437" cy="2988467"/>
            </a:xfrm>
            <a:prstGeom prst="roundRect">
              <a:avLst>
                <a:gd name="adj" fmla="val 5578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52BC12B-9AAD-45E0-809A-F6B9D525B15C}"/>
                </a:ext>
              </a:extLst>
            </xdr:cNvPr>
            <xdr:cNvGraphicFramePr>
              <a:graphicFrameLocks/>
            </xdr:cNvGraphicFramePr>
          </xdr:nvGraphicFramePr>
          <xdr:xfrm>
            <a:off x="4750594" y="1988344"/>
            <a:ext cx="502443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E8EB0F02-06E3-495B-B395-9CF99EAFB4EB}"/>
              </a:ext>
            </a:extLst>
          </xdr:cNvPr>
          <xdr:cNvSpPr/>
        </xdr:nvSpPr>
        <xdr:spPr>
          <a:xfrm>
            <a:off x="2393155" y="4441034"/>
            <a:ext cx="10358439" cy="47625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502441</xdr:colOff>
      <xdr:row>1</xdr:row>
      <xdr:rowOff>101346</xdr:rowOff>
    </xdr:from>
    <xdr:to>
      <xdr:col>0</xdr:col>
      <xdr:colOff>1273966</xdr:colOff>
      <xdr:row>2</xdr:row>
      <xdr:rowOff>258509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1BDD214C-F54E-4977-9691-4959B47996E1}"/>
            </a:ext>
          </a:extLst>
        </xdr:cNvPr>
        <xdr:cNvSpPr/>
      </xdr:nvSpPr>
      <xdr:spPr>
        <a:xfrm>
          <a:off x="502441" y="279940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214311</xdr:colOff>
      <xdr:row>2</xdr:row>
      <xdr:rowOff>365665</xdr:rowOff>
    </xdr:from>
    <xdr:to>
      <xdr:col>0</xdr:col>
      <xdr:colOff>1893094</xdr:colOff>
      <xdr:row>5</xdr:row>
      <xdr:rowOff>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5C698000-89DA-4D4B-84E3-5EFB36D7B232}"/>
            </a:ext>
          </a:extLst>
        </xdr:cNvPr>
        <xdr:cNvSpPr/>
      </xdr:nvSpPr>
      <xdr:spPr>
        <a:xfrm>
          <a:off x="214311" y="1044321"/>
          <a:ext cx="1678783" cy="336804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&gt;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 Bem Vinda, Maria</a:t>
          </a:r>
          <a:endParaRPr lang="pt-BR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" refreshedDate="46305.630598842596" createdVersion="7" refreshedVersion="7" minRefreshableVersion="3" recordCount="295" xr:uid="{7850C9E2-7AEC-4883-A7D6-A58042D88ED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862889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7C684-0D80-4D72-A72C-175EBD264477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11">
      <pivotArea outline="0" collapsedLevelsAreSubtotals="1" fieldPosition="0"/>
    </format>
    <format dxfId="12">
      <pivotArea dataOnly="0" labelOnly="1" outline="0" fieldPosition="0">
        <references count="1">
          <reference field="6" count="1">
            <x v="0"/>
          </reference>
        </references>
      </pivotArea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763C6-FB8E-4726-97FB-BFE94B670914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3">
    <format dxfId="16">
      <pivotArea outline="0" collapsedLevelsAreSubtotals="1" fieldPosition="0"/>
    </format>
    <format dxfId="15">
      <pivotArea dataOnly="0" labelOnly="1" outline="0" fieldPosition="0">
        <references count="1">
          <reference field="6" count="1">
            <x v="0"/>
          </reference>
        </references>
      </pivotArea>
    </format>
    <format dxfId="1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1B941-57C5-4C50-A55A-9D7AA5D763EC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formats count="3">
    <format dxfId="19">
      <pivotArea outline="0" collapsedLevelsAreSubtotals="1" fieldPosition="0"/>
    </format>
    <format dxfId="18">
      <pivotArea dataOnly="0" labelOnly="1" outline="0" fieldPosition="0">
        <references count="1">
          <reference field="6" count="1">
            <x v="0"/>
          </reference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2506B2F-BD3F-4B6D-994A-F5CF8975FAB3}" sourceName="Subscription Type">
  <pivotTables>
    <pivotTable tabId="3" name="tbl_annual_total"/>
    <pivotTable tabId="3" name="tbl_eaSeasonPass_Total"/>
    <pivotTable tabId="3" name="Tabela dinâmica1"/>
  </pivotTables>
  <data>
    <tabular pivotCacheId="48628894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B5B947F6-9E1F-4687-B1F1-6894DA3FDDC6}" cache="SegmentaçãodeDados_Subscription_Type" caption="Subscription Type" style="SlicerStyleLight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2"/>
    <tableColumn id="2" xr3:uid="{53DD39D0-2220-4121-9E9D-4EAA7E151C0F}" name="Name" dataDxfId="31"/>
    <tableColumn id="3" xr3:uid="{4F5FF271-4C57-4BE0-8F2C-F82C8551625C}" name="Plan" dataDxfId="30"/>
    <tableColumn id="4" xr3:uid="{8C17EB93-79B9-4E55-B8F7-BEB82F8253E9}" name="Start Date" dataDxfId="29"/>
    <tableColumn id="5" xr3:uid="{48CEDF9B-1689-482A-A828-5CCE7713264A}" name="Auto Renewal" dataDxfId="28"/>
    <tableColumn id="6" xr3:uid="{78B82374-9AA7-4E38-AE4F-78CDE6C83720}" name="Subscription Price" dataDxfId="27" dataCellStyle="Moeda"/>
    <tableColumn id="7" xr3:uid="{F2433F68-AF33-49D0-B1FB-19A396074EDE}" name="Subscription Type" dataDxfId="26"/>
    <tableColumn id="8" xr3:uid="{FD4D9C95-F6E5-4933-9068-A71FF7DF9343}" name="EA Play Season Pass" dataDxfId="25"/>
    <tableColumn id="13" xr3:uid="{978DD0D2-834E-4CE4-A39B-30976086932F}" name="EA Play Season Pass_x000a_Price" dataDxfId="24" dataCellStyle="Moeda"/>
    <tableColumn id="9" xr3:uid="{6E29F111-C395-4580-9DAD-3407D9E8B1A4}" name="Minecraft Season Pass" dataDxfId="23"/>
    <tableColumn id="10" xr3:uid="{EF544EAA-7F25-4FD5-A10E-8E62804DB9E3}" name="Minecraft Season Pass Price" dataDxfId="22" dataCellStyle="Moeda"/>
    <tableColumn id="11" xr3:uid="{7F6EB64A-1F07-4E48-9F0F-AC7D9DCD26F8}" name="Coupon Value" dataDxfId="21" dataCellStyle="Moeda"/>
    <tableColumn id="12" xr3:uid="{2B04ABC8-DE6F-426E-ADC0-D8AFC68CA58E}" name="Total Value" dataDxfId="2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style="13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5"/>
  <sheetViews>
    <sheetView showGridLines="0" workbookViewId="0">
      <selection activeCell="B6" sqref="B6"/>
    </sheetView>
  </sheetViews>
  <sheetFormatPr defaultRowHeight="14.25"/>
  <cols>
    <col min="2" max="2" width="18" bestFit="1" customWidth="1"/>
    <col min="3" max="3" width="36.375" style="13" bestFit="1" customWidth="1"/>
    <col min="4" max="4" width="38.375" bestFit="1" customWidth="1"/>
    <col min="5" max="5" width="10.7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313</v>
      </c>
    </row>
    <row r="6" spans="2:3" ht="15">
      <c r="B6" s="12" t="s">
        <v>317</v>
      </c>
    </row>
    <row r="7" spans="2:3" ht="15">
      <c r="B7" s="12" t="s">
        <v>318</v>
      </c>
    </row>
    <row r="9" spans="2:3">
      <c r="B9" s="14" t="s">
        <v>16</v>
      </c>
      <c r="C9" t="s">
        <v>24</v>
      </c>
    </row>
    <row r="11" spans="2:3">
      <c r="B11" s="14" t="s">
        <v>314</v>
      </c>
      <c r="C11" s="13" t="s">
        <v>316</v>
      </c>
    </row>
    <row r="12" spans="2:3">
      <c r="B12" s="15" t="s">
        <v>23</v>
      </c>
      <c r="C12" s="13">
        <v>217</v>
      </c>
    </row>
    <row r="13" spans="2:3">
      <c r="B13" s="15" t="s">
        <v>19</v>
      </c>
      <c r="C13" s="13">
        <v>1537</v>
      </c>
    </row>
    <row r="14" spans="2:3">
      <c r="B14" s="15" t="s">
        <v>315</v>
      </c>
      <c r="C14" s="13">
        <v>1754</v>
      </c>
    </row>
    <row r="16" spans="2:3">
      <c r="B16" s="15" t="s">
        <v>319</v>
      </c>
    </row>
    <row r="18" spans="2:5">
      <c r="B18" s="14" t="s">
        <v>16</v>
      </c>
      <c r="C18" t="s">
        <v>24</v>
      </c>
    </row>
    <row r="20" spans="2:5">
      <c r="B20" s="14" t="s">
        <v>314</v>
      </c>
      <c r="C20" s="13" t="s">
        <v>320</v>
      </c>
    </row>
    <row r="21" spans="2:5">
      <c r="B21" s="15" t="s">
        <v>22</v>
      </c>
      <c r="C21" s="13">
        <v>0</v>
      </c>
    </row>
    <row r="22" spans="2:5">
      <c r="B22" s="15" t="s">
        <v>26</v>
      </c>
      <c r="C22" s="13">
        <v>0</v>
      </c>
    </row>
    <row r="23" spans="2:5">
      <c r="B23" s="15" t="s">
        <v>18</v>
      </c>
      <c r="C23" s="13">
        <v>600</v>
      </c>
    </row>
    <row r="24" spans="2:5">
      <c r="B24" s="15" t="s">
        <v>315</v>
      </c>
      <c r="C24" s="13">
        <v>600</v>
      </c>
      <c r="E24" s="18">
        <f>GETPIVOTDATA("EA Play Season Pass
Price",$B$20)</f>
        <v>600</v>
      </c>
    </row>
    <row r="27" spans="2:5">
      <c r="B27" s="15" t="s">
        <v>321</v>
      </c>
    </row>
    <row r="29" spans="2:5">
      <c r="B29" s="14" t="s">
        <v>16</v>
      </c>
      <c r="C29" t="s">
        <v>24</v>
      </c>
    </row>
    <row r="31" spans="2:5">
      <c r="B31" s="14" t="s">
        <v>314</v>
      </c>
      <c r="C31" s="13" t="s">
        <v>322</v>
      </c>
    </row>
    <row r="32" spans="2:5">
      <c r="B32" s="15" t="s">
        <v>22</v>
      </c>
      <c r="C32" s="13">
        <v>0</v>
      </c>
    </row>
    <row r="33" spans="2:5">
      <c r="B33" s="15" t="s">
        <v>26</v>
      </c>
      <c r="C33" s="13">
        <v>540</v>
      </c>
    </row>
    <row r="34" spans="2:5">
      <c r="B34" s="15" t="s">
        <v>18</v>
      </c>
      <c r="C34" s="13">
        <v>400</v>
      </c>
      <c r="E34" s="18">
        <f>GETPIVOTDATA("Minecraft Season Pass Price",$B$31)</f>
        <v>940</v>
      </c>
    </row>
    <row r="35" spans="2:5">
      <c r="B35" s="15" t="s">
        <v>315</v>
      </c>
      <c r="C35" s="13">
        <v>940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106"/>
  <sheetViews>
    <sheetView showGridLines="0" showRowColHeaders="0" tabSelected="1" zoomScaleNormal="100" workbookViewId="0">
      <selection activeCell="F47" sqref="F47"/>
    </sheetView>
  </sheetViews>
  <sheetFormatPr defaultRowHeight="14.25"/>
  <cols>
    <col min="1" max="1" width="27.75" style="4" customWidth="1"/>
    <col min="2" max="2" width="3.625" customWidth="1"/>
    <col min="12" max="12" width="6.625" customWidth="1"/>
  </cols>
  <sheetData>
    <row r="2" spans="1:18" ht="39" customHeight="1" thickBot="1">
      <c r="C2" s="17" t="s">
        <v>323</v>
      </c>
      <c r="D2" s="17"/>
      <c r="E2" s="17"/>
      <c r="F2" s="17"/>
      <c r="G2" s="17"/>
      <c r="H2" s="17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9" customHeight="1" thickTop="1">
      <c r="F3" s="20"/>
    </row>
    <row r="4" spans="1:18" s="7" customFormat="1" ht="21" customHeight="1">
      <c r="A4" s="4"/>
      <c r="C4" s="21" t="s">
        <v>324</v>
      </c>
    </row>
    <row r="5" spans="1:18" s="7" customFormat="1" ht="9.75" customHeight="1">
      <c r="A5" s="4"/>
    </row>
    <row r="6" spans="1:18" s="7" customFormat="1" ht="10.5" customHeight="1">
      <c r="A6" s="4"/>
    </row>
    <row r="7" spans="1:18" s="7" customFormat="1" ht="9.75" customHeight="1">
      <c r="A7" s="4"/>
    </row>
    <row r="8" spans="1:18" s="7" customFormat="1" ht="33" customHeight="1">
      <c r="A8" s="4"/>
    </row>
    <row r="9" spans="1:18" s="7" customFormat="1">
      <c r="A9" s="4"/>
    </row>
    <row r="10" spans="1:18" s="7" customFormat="1">
      <c r="A10" s="4"/>
    </row>
    <row r="11" spans="1:18" s="7" customFormat="1">
      <c r="A11" s="4"/>
    </row>
    <row r="12" spans="1:18" s="7" customFormat="1">
      <c r="A12" s="4"/>
    </row>
    <row r="13" spans="1:18" s="7" customFormat="1">
      <c r="A13" s="4"/>
    </row>
    <row r="14" spans="1:18" s="7" customFormat="1">
      <c r="A14" s="4"/>
    </row>
    <row r="15" spans="1:18" s="7" customFormat="1">
      <c r="A15" s="4"/>
    </row>
    <row r="16" spans="1:18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19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Vanessa</cp:lastModifiedBy>
  <dcterms:created xsi:type="dcterms:W3CDTF">2024-12-19T13:13:10Z</dcterms:created>
  <dcterms:modified xsi:type="dcterms:W3CDTF">2026-10-11T21:47:39Z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